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Iwork\unitySimulation\VirtualCapsuleEndoscopy070301\VirtualCapsuleEndoscopy-20250618Windows 20250703-2backup\VR-Caps-Unity\recording\Unity based on read transform - Copy\"/>
    </mc:Choice>
  </mc:AlternateContent>
  <xr:revisionPtr revIDLastSave="0" documentId="8_{47E16907-F04F-486D-9723-7ECC0CA0B653}" xr6:coauthVersionLast="47" xr6:coauthVersionMax="47" xr10:uidLastSave="{00000000-0000-0000-0000-000000000000}"/>
  <bookViews>
    <workbookView xWindow="8085" yWindow="3915" windowWidth="33300" windowHeight="15345" xr2:uid="{97FD654C-2D8B-426A-9079-8A9E2D039CA3}"/>
  </bookViews>
  <sheets>
    <sheet name="coordinate2_filled" sheetId="1" r:id="rId1"/>
  </sheets>
  <calcPr calcId="0"/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3" i="1"/>
  <c r="O4" i="1"/>
  <c r="O5" i="1"/>
  <c r="O6" i="1"/>
  <c r="O7" i="1"/>
  <c r="O8" i="1"/>
  <c r="O9" i="1"/>
  <c r="O10" i="1"/>
  <c r="O11" i="1"/>
  <c r="O3" i="1"/>
  <c r="N4" i="1"/>
  <c r="N5" i="1"/>
  <c r="N6" i="1"/>
  <c r="N7" i="1"/>
  <c r="N8" i="1"/>
  <c r="N9" i="1"/>
  <c r="N10" i="1"/>
  <c r="N11" i="1"/>
  <c r="N3" i="1"/>
</calcChain>
</file>

<file path=xl/sharedStrings.xml><?xml version="1.0" encoding="utf-8"?>
<sst xmlns="http://schemas.openxmlformats.org/spreadsheetml/2006/main" count="38" uniqueCount="38">
  <si>
    <t>photo#</t>
  </si>
  <si>
    <t>LinearX</t>
  </si>
  <si>
    <t>LinearY</t>
  </si>
  <si>
    <t>LinearZ</t>
  </si>
  <si>
    <t>CamX</t>
  </si>
  <si>
    <t>CamY</t>
  </si>
  <si>
    <t>CamZ</t>
  </si>
  <si>
    <t>CamPitch</t>
  </si>
  <si>
    <t>CamRoll</t>
  </si>
  <si>
    <t>CamYaw</t>
  </si>
  <si>
    <t>CameraOriginalX</t>
  </si>
  <si>
    <t>CameraOY</t>
  </si>
  <si>
    <t>CameraOZ</t>
  </si>
  <si>
    <t>unity x roation</t>
  </si>
  <si>
    <t xml:space="preserve">unity y rotation </t>
  </si>
  <si>
    <t>unity z rotation</t>
  </si>
  <si>
    <t>Baseline</t>
  </si>
  <si>
    <t>UnityCameraX</t>
  </si>
  <si>
    <t>UnityCameraY-Real-y</t>
  </si>
  <si>
    <t>UnityCamerZ</t>
  </si>
  <si>
    <t>RGB_20260803_083403</t>
  </si>
  <si>
    <t>Depth_20260803_083403</t>
  </si>
  <si>
    <t>RGB_20260803_083603</t>
  </si>
  <si>
    <t>Depth_20260803_083603</t>
  </si>
  <si>
    <t>RGB_20260803_083705</t>
  </si>
  <si>
    <t>Depth_20260803_083705</t>
  </si>
  <si>
    <t>RGB_20260803_083739</t>
  </si>
  <si>
    <t>Depth_20260803_083739</t>
  </si>
  <si>
    <t>RGB_20260803_083836</t>
  </si>
  <si>
    <t>Depth_20260803_083836</t>
  </si>
  <si>
    <t>RGB_20260803_083923</t>
  </si>
  <si>
    <t>Depth_20260803_083923</t>
  </si>
  <si>
    <t>RGB_20260803_083956</t>
  </si>
  <si>
    <t>Depth_20260803_083956</t>
  </si>
  <si>
    <t>RGB_20260803_084034</t>
  </si>
  <si>
    <t>Depth_20260803_084034</t>
  </si>
  <si>
    <t>RGB_20260803_084102</t>
  </si>
  <si>
    <t>Depth_20260803_084102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</si>
</sst>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5596-7A72-4F1B-910F-7F225D1FD891}">
  <dimension ref="A1:U11"/>
  <sheetViews>
    <sheetView tabSelected="1" workbookViewId="0">
      <selection activeCell="U8" sqref="U8"/>
    </sheetView>
  </sheetViews>
  <sheetFormatPr defaultRowHeight="15" x14ac:dyDescent="0.25"/>
  <cols>
    <col min="5" max="5" width="9.140625" style="2"/>
    <col min="6" max="6" width="9.140625" style="1"/>
    <col min="7" max="7" width="9.140625" style="3"/>
    <col min="8" max="8" width="12.5703125" customWidth="1"/>
    <col min="11" max="11" width="9.140625" style="2"/>
    <col min="12" max="12" width="9.140625" style="1"/>
    <col min="13" max="13" width="17.7109375" style="3" customWidth="1"/>
    <col min="14" max="14" width="22" style="2" customWidth="1"/>
    <col min="15" max="15" width="18.7109375" style="1" customWidth="1"/>
    <col min="16" max="16" width="22.140625" style="3" customWidth="1"/>
    <col min="17" max="17" width="12.28515625" customWidth="1"/>
    <col min="20" max="20" width="25.42578125" customWidth="1"/>
    <col min="21" max="21" width="26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3" t="s">
        <v>6</v>
      </c>
      <c r="H1" t="s">
        <v>7</v>
      </c>
      <c r="I1" t="s">
        <v>8</v>
      </c>
      <c r="J1" t="s">
        <v>9</v>
      </c>
      <c r="K1" s="2" t="s">
        <v>10</v>
      </c>
      <c r="L1" s="1" t="s">
        <v>11</v>
      </c>
      <c r="M1" s="3" t="s">
        <v>12</v>
      </c>
      <c r="N1" s="2" t="s">
        <v>17</v>
      </c>
      <c r="O1" s="1" t="s">
        <v>18</v>
      </c>
      <c r="P1" s="3" t="s">
        <v>19</v>
      </c>
      <c r="Q1" t="s">
        <v>13</v>
      </c>
      <c r="R1" t="s">
        <v>14</v>
      </c>
      <c r="S1" t="s">
        <v>15</v>
      </c>
    </row>
    <row r="2" spans="1:21" x14ac:dyDescent="0.25">
      <c r="A2" t="s">
        <v>16</v>
      </c>
      <c r="B2">
        <v>25</v>
      </c>
      <c r="C2">
        <v>40</v>
      </c>
      <c r="D2">
        <v>10</v>
      </c>
      <c r="E2">
        <v>-20.472939</v>
      </c>
      <c r="F2">
        <v>32.489234000000003</v>
      </c>
      <c r="G2">
        <v>47.842689</v>
      </c>
      <c r="H2">
        <v>-1.062243</v>
      </c>
      <c r="I2">
        <v>178.785492</v>
      </c>
      <c r="J2">
        <v>-179.90669800000001</v>
      </c>
    </row>
    <row r="3" spans="1:21" x14ac:dyDescent="0.25">
      <c r="A3">
        <v>1</v>
      </c>
      <c r="B3">
        <v>15.5</v>
      </c>
      <c r="C3">
        <v>40</v>
      </c>
      <c r="D3">
        <v>22</v>
      </c>
      <c r="E3">
        <v>-10.672319</v>
      </c>
      <c r="F3">
        <v>32.100281000000003</v>
      </c>
      <c r="G3">
        <v>35.770451999999999</v>
      </c>
      <c r="H3">
        <v>-1.062243</v>
      </c>
      <c r="I3">
        <v>178.785492</v>
      </c>
      <c r="J3">
        <v>-179.90669800000001</v>
      </c>
      <c r="K3" s="2">
        <v>3.1600009999999998E-2</v>
      </c>
      <c r="L3" s="1">
        <v>-2.2833999999999999</v>
      </c>
      <c r="M3" s="3">
        <v>12.5992</v>
      </c>
      <c r="N3" s="2">
        <f>K3+E3/1000</f>
        <v>2.0927690999999998E-2</v>
      </c>
      <c r="O3" s="1">
        <f>L3-F3/1000</f>
        <v>-2.3155002809999998</v>
      </c>
      <c r="P3" s="3">
        <f>M3+G3/1000</f>
        <v>12.634970451999999</v>
      </c>
      <c r="Q3">
        <v>358.937996</v>
      </c>
      <c r="R3">
        <v>180.070785</v>
      </c>
      <c r="S3">
        <v>181.21471700000001</v>
      </c>
      <c r="T3" t="s">
        <v>20</v>
      </c>
      <c r="U3" t="s">
        <v>21</v>
      </c>
    </row>
    <row r="4" spans="1:21" x14ac:dyDescent="0.25">
      <c r="A4">
        <v>2</v>
      </c>
      <c r="B4">
        <v>15.5</v>
      </c>
      <c r="C4">
        <v>35</v>
      </c>
      <c r="D4">
        <v>22</v>
      </c>
      <c r="E4">
        <v>-10.695259</v>
      </c>
      <c r="F4">
        <v>37.120140999999997</v>
      </c>
      <c r="G4">
        <v>35.677410999999999</v>
      </c>
      <c r="H4">
        <v>-1.062243</v>
      </c>
      <c r="I4">
        <v>178.785492</v>
      </c>
      <c r="J4">
        <v>-179.90669800000001</v>
      </c>
      <c r="K4" s="2">
        <v>3.1600009999999998E-2</v>
      </c>
      <c r="L4" s="1">
        <v>-2.2833999999999999</v>
      </c>
      <c r="M4" s="3">
        <v>12.5992</v>
      </c>
      <c r="N4" s="2">
        <f t="shared" ref="N4:N11" si="0">K4+E4/1000</f>
        <v>2.0904750999999999E-2</v>
      </c>
      <c r="O4" s="1">
        <f t="shared" ref="O4:O11" si="1">L4-F4/1000</f>
        <v>-2.3205201409999998</v>
      </c>
      <c r="P4" s="3">
        <f t="shared" ref="P4:P11" si="2">M4+G4/1000</f>
        <v>12.634877411</v>
      </c>
      <c r="Q4">
        <v>358.937996</v>
      </c>
      <c r="R4">
        <v>180.070785</v>
      </c>
      <c r="S4">
        <v>181.21471700000001</v>
      </c>
      <c r="T4" t="s">
        <v>22</v>
      </c>
      <c r="U4" t="s">
        <v>23</v>
      </c>
    </row>
    <row r="5" spans="1:21" x14ac:dyDescent="0.25">
      <c r="A5">
        <v>3</v>
      </c>
      <c r="B5">
        <v>15.5</v>
      </c>
      <c r="C5">
        <v>30</v>
      </c>
      <c r="D5">
        <v>22</v>
      </c>
      <c r="E5">
        <v>-10.718199</v>
      </c>
      <c r="F5">
        <v>42.140000999999998</v>
      </c>
      <c r="G5">
        <v>35.58437</v>
      </c>
      <c r="H5">
        <v>-1.062243</v>
      </c>
      <c r="I5">
        <v>178.785492</v>
      </c>
      <c r="J5">
        <v>-179.90669800000001</v>
      </c>
      <c r="K5" s="2">
        <v>3.1600009999999998E-2</v>
      </c>
      <c r="L5" s="1">
        <v>-2.2833999999999999</v>
      </c>
      <c r="M5" s="3">
        <v>12.5992</v>
      </c>
      <c r="N5" s="2">
        <f t="shared" si="0"/>
        <v>2.0881811E-2</v>
      </c>
      <c r="O5" s="1">
        <f t="shared" si="1"/>
        <v>-2.3255400009999998</v>
      </c>
      <c r="P5" s="3">
        <f t="shared" si="2"/>
        <v>12.63478437</v>
      </c>
      <c r="Q5">
        <v>358.937996</v>
      </c>
      <c r="R5">
        <v>180.070785</v>
      </c>
      <c r="S5">
        <v>181.21471700000001</v>
      </c>
      <c r="T5" t="s">
        <v>24</v>
      </c>
      <c r="U5" t="s">
        <v>25</v>
      </c>
    </row>
    <row r="6" spans="1:21" x14ac:dyDescent="0.25">
      <c r="A6">
        <v>4</v>
      </c>
      <c r="B6">
        <v>15.5</v>
      </c>
      <c r="C6">
        <v>25</v>
      </c>
      <c r="D6">
        <v>22</v>
      </c>
      <c r="E6">
        <v>-10.741139</v>
      </c>
      <c r="F6">
        <v>47.159860999999999</v>
      </c>
      <c r="G6">
        <v>35.491329</v>
      </c>
      <c r="H6">
        <v>-1.062243</v>
      </c>
      <c r="I6">
        <v>178.785492</v>
      </c>
      <c r="J6">
        <v>-179.90669800000001</v>
      </c>
      <c r="K6" s="2">
        <v>3.1600009999999998E-2</v>
      </c>
      <c r="L6" s="1">
        <v>-2.2833999999999999</v>
      </c>
      <c r="M6" s="3">
        <v>12.5992</v>
      </c>
      <c r="N6" s="2">
        <f t="shared" si="0"/>
        <v>2.0858870999999998E-2</v>
      </c>
      <c r="O6" s="1">
        <f t="shared" si="1"/>
        <v>-2.3305598609999998</v>
      </c>
      <c r="P6" s="3">
        <f t="shared" si="2"/>
        <v>12.634691328999999</v>
      </c>
      <c r="Q6">
        <v>358.937996</v>
      </c>
      <c r="R6">
        <v>180.070785</v>
      </c>
      <c r="S6">
        <v>181.21471700000001</v>
      </c>
      <c r="T6" t="s">
        <v>26</v>
      </c>
      <c r="U6" t="s">
        <v>27</v>
      </c>
    </row>
    <row r="7" spans="1:21" x14ac:dyDescent="0.25">
      <c r="A7">
        <v>5</v>
      </c>
      <c r="B7">
        <v>15.5</v>
      </c>
      <c r="C7">
        <v>20</v>
      </c>
      <c r="D7">
        <v>22</v>
      </c>
      <c r="E7">
        <v>-10.764079000000001</v>
      </c>
      <c r="F7">
        <v>52.179721000000001</v>
      </c>
      <c r="G7">
        <v>35.398288000000001</v>
      </c>
      <c r="H7">
        <v>-1.062243</v>
      </c>
      <c r="I7">
        <v>178.785492</v>
      </c>
      <c r="J7">
        <v>-179.90669800000001</v>
      </c>
      <c r="K7" s="2">
        <v>3.1600009999999998E-2</v>
      </c>
      <c r="L7" s="1">
        <v>-2.2833999999999999</v>
      </c>
      <c r="M7" s="3">
        <v>12.5992</v>
      </c>
      <c r="N7" s="2">
        <f t="shared" si="0"/>
        <v>2.0835930999999995E-2</v>
      </c>
      <c r="O7" s="1">
        <f t="shared" si="1"/>
        <v>-2.3355797209999998</v>
      </c>
      <c r="P7" s="3">
        <f t="shared" si="2"/>
        <v>12.634598287999999</v>
      </c>
      <c r="Q7">
        <v>358.937996</v>
      </c>
      <c r="R7">
        <v>180.070785</v>
      </c>
      <c r="S7">
        <v>181.21471700000001</v>
      </c>
      <c r="T7" t="s">
        <v>28</v>
      </c>
      <c r="U7" t="s">
        <v>29</v>
      </c>
    </row>
    <row r="8" spans="1:21" x14ac:dyDescent="0.25">
      <c r="A8">
        <v>6</v>
      </c>
      <c r="B8">
        <v>15.5</v>
      </c>
      <c r="C8">
        <v>15</v>
      </c>
      <c r="D8">
        <v>22</v>
      </c>
      <c r="E8">
        <v>-10.787019000000001</v>
      </c>
      <c r="F8">
        <v>57.199581999999999</v>
      </c>
      <c r="G8">
        <v>35.305247000000001</v>
      </c>
      <c r="H8">
        <v>-1.062243</v>
      </c>
      <c r="I8">
        <v>178.785492</v>
      </c>
      <c r="J8">
        <v>-179.90669800000001</v>
      </c>
      <c r="K8" s="2">
        <v>3.1600009999999998E-2</v>
      </c>
      <c r="L8" s="1">
        <v>-2.2833999999999999</v>
      </c>
      <c r="M8" s="3">
        <v>12.5992</v>
      </c>
      <c r="N8" s="2">
        <f t="shared" si="0"/>
        <v>2.0812990999999996E-2</v>
      </c>
      <c r="O8" s="1">
        <f t="shared" si="1"/>
        <v>-2.3405995819999998</v>
      </c>
      <c r="P8" s="3">
        <f t="shared" si="2"/>
        <v>12.634505247</v>
      </c>
      <c r="Q8">
        <v>358.937996</v>
      </c>
      <c r="R8">
        <v>180.070785</v>
      </c>
      <c r="S8">
        <v>181.21471700000001</v>
      </c>
      <c r="T8" t="s">
        <v>30</v>
      </c>
      <c r="U8" t="s">
        <v>31</v>
      </c>
    </row>
    <row r="9" spans="1:21" x14ac:dyDescent="0.25">
      <c r="A9">
        <v>7</v>
      </c>
      <c r="B9">
        <v>15.5</v>
      </c>
      <c r="C9">
        <v>10</v>
      </c>
      <c r="D9">
        <v>22</v>
      </c>
      <c r="E9">
        <v>-10.809958999999999</v>
      </c>
      <c r="F9">
        <v>62.219442000000001</v>
      </c>
      <c r="G9">
        <v>35.212206000000002</v>
      </c>
      <c r="H9">
        <v>-1.062243</v>
      </c>
      <c r="I9">
        <v>178.785492</v>
      </c>
      <c r="J9">
        <v>-179.90669800000001</v>
      </c>
      <c r="K9" s="2">
        <v>3.1600009999999998E-2</v>
      </c>
      <c r="L9" s="1">
        <v>-2.2833999999999999</v>
      </c>
      <c r="M9" s="3">
        <v>12.5992</v>
      </c>
      <c r="N9" s="2">
        <f t="shared" si="0"/>
        <v>2.0790050999999997E-2</v>
      </c>
      <c r="O9" s="1">
        <f t="shared" si="1"/>
        <v>-2.3456194419999998</v>
      </c>
      <c r="P9" s="3">
        <f t="shared" si="2"/>
        <v>12.634412206</v>
      </c>
      <c r="Q9">
        <v>358.937996</v>
      </c>
      <c r="R9">
        <v>180.070785</v>
      </c>
      <c r="S9">
        <v>181.21471700000001</v>
      </c>
      <c r="T9" t="s">
        <v>32</v>
      </c>
      <c r="U9" t="s">
        <v>33</v>
      </c>
    </row>
    <row r="10" spans="1:21" x14ac:dyDescent="0.25">
      <c r="A10">
        <v>8</v>
      </c>
      <c r="B10">
        <v>15.5</v>
      </c>
      <c r="C10">
        <v>5</v>
      </c>
      <c r="D10">
        <v>22</v>
      </c>
      <c r="E10">
        <v>-10.832898999999999</v>
      </c>
      <c r="F10">
        <v>67.239301999999995</v>
      </c>
      <c r="G10">
        <v>35.119165000000002</v>
      </c>
      <c r="H10">
        <v>-1.062243</v>
      </c>
      <c r="I10">
        <v>178.785492</v>
      </c>
      <c r="J10">
        <v>-179.90669800000001</v>
      </c>
      <c r="K10" s="2">
        <v>3.1600009999999998E-2</v>
      </c>
      <c r="L10" s="1">
        <v>-2.2833999999999999</v>
      </c>
      <c r="M10" s="3">
        <v>12.5992</v>
      </c>
      <c r="N10" s="2">
        <f t="shared" si="0"/>
        <v>2.0767110999999998E-2</v>
      </c>
      <c r="O10" s="1">
        <f t="shared" si="1"/>
        <v>-2.3506393019999998</v>
      </c>
      <c r="P10" s="3">
        <f t="shared" si="2"/>
        <v>12.634319164999999</v>
      </c>
      <c r="Q10">
        <v>358.937996</v>
      </c>
      <c r="R10">
        <v>180.070785</v>
      </c>
      <c r="S10">
        <v>181.21471700000001</v>
      </c>
      <c r="T10" t="s">
        <v>34</v>
      </c>
      <c r="U10" t="s">
        <v>35</v>
      </c>
    </row>
    <row r="11" spans="1:21" x14ac:dyDescent="0.25">
      <c r="A11">
        <v>9</v>
      </c>
      <c r="B11">
        <v>15.5</v>
      </c>
      <c r="C11">
        <v>0</v>
      </c>
      <c r="D11">
        <v>22</v>
      </c>
      <c r="E11">
        <v>-10.855839</v>
      </c>
      <c r="F11">
        <v>72.259162000000003</v>
      </c>
      <c r="G11">
        <v>35.026125</v>
      </c>
      <c r="H11">
        <v>-1.062243</v>
      </c>
      <c r="I11">
        <v>178.785492</v>
      </c>
      <c r="J11">
        <v>-179.90669800000001</v>
      </c>
      <c r="K11" s="2">
        <v>3.1600009999999998E-2</v>
      </c>
      <c r="L11" s="1">
        <v>-2.2833999999999999</v>
      </c>
      <c r="M11" s="3">
        <v>12.5992</v>
      </c>
      <c r="N11" s="2">
        <f t="shared" si="0"/>
        <v>2.0744170999999999E-2</v>
      </c>
      <c r="O11" s="1">
        <f t="shared" si="1"/>
        <v>-2.3556591619999998</v>
      </c>
      <c r="P11" s="3">
        <f t="shared" si="2"/>
        <v>12.634226125</v>
      </c>
      <c r="Q11">
        <v>358.937996</v>
      </c>
      <c r="R11">
        <v>180.070785</v>
      </c>
      <c r="S11">
        <v>181.21471700000001</v>
      </c>
      <c r="T11" t="s">
        <v>36</v>
      </c>
      <c r="U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coordinate2_filled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liyuan qiu</dc:creator>
  <cp:lastModifiedBy>Liyuan QIU</cp:lastModifiedBy>
  <dcterms:created xsi:type="dcterms:W3CDTF">2026-08-03T00:09:35Z</dcterms:created>
  <dcterms:modified xsi:type="dcterms:W3CDTF">2026-08-03T00:43:46Z</dcterms:modified>
</cp:coreProperties>
</file>